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81906\Desktop\github\"/>
    </mc:Choice>
  </mc:AlternateContent>
  <xr:revisionPtr revIDLastSave="0" documentId="13_ncr:1_{217656B9-8377-4A23-818E-2A8DCDB84778}" xr6:coauthVersionLast="47" xr6:coauthVersionMax="47" xr10:uidLastSave="{00000000-0000-0000-0000-000000000000}"/>
  <bookViews>
    <workbookView xWindow="-108" yWindow="-108" windowWidth="23256" windowHeight="12576" activeTab="1" xr2:uid="{89825E14-B9CC-4E78-97D6-A905BA6F27C7}"/>
  </bookViews>
  <sheets>
    <sheet name="製品ロット登録" sheetId="5" r:id="rId1"/>
    <sheet name="ロット検索" sheetId="4" r:id="rId2"/>
    <sheet name="材料A" sheetId="1" r:id="rId3"/>
    <sheet name="材料B" sheetId="2" r:id="rId4"/>
    <sheet name="材料C" sheetId="3" r:id="rId5"/>
  </sheets>
  <externalReferences>
    <externalReference r:id="rId6"/>
    <externalReference r:id="rId7"/>
    <externalReference r:id="rId8"/>
  </externalReferences>
  <definedNames>
    <definedName name="_1_0902YOSOKUMEISAI_クエリ">#REF!</definedName>
    <definedName name="_10_2004YOSAN_M20100126_仕入先別クエリ">#REF!</definedName>
    <definedName name="_11_2010YOSAN_M20100126_仕入先別">#REF!</definedName>
    <definedName name="_2_0905YOSOKU_M__2__クエリ_クエリ">#REF!</definedName>
    <definedName name="_3_0908YOSOKU_M_仕入先集計">#REF!</definedName>
    <definedName name="_4_0908YOSOKU_M_仕入先別集計">#REF!</definedName>
    <definedName name="_5_0908YOSOKU_M_品目別集計">#REF!</definedName>
    <definedName name="_6_0909YOSOKU_M_クエリ">#REF!</definedName>
    <definedName name="_7_0910YOSOKU_M_クエリ">#REF!</definedName>
    <definedName name="_8_1904YOSAN_M_クエリ">#REF!</definedName>
    <definedName name="_9_1910YOSAN_M_クエリ">#REF!</definedName>
    <definedName name="_ReplyFlag">[1]Def_Work!$B$72</definedName>
    <definedName name="HYOUJI">[2]Def_Work!$AA$4:$AA$18</definedName>
    <definedName name="HYOUJI_2">[3]Def_Work!#REF!</definedName>
    <definedName name="HYOUJI_ANS">[2]Def_Work!$AI$4:$AI$25</definedName>
    <definedName name="INIT_ANSWER_DATE_WIDTH">[1]Def_Work!$O$59</definedName>
    <definedName name="INIT_ANSWER_QTY_WIDTH">[1]Def_Work!$O$61</definedName>
    <definedName name="R_FROM_REPLY_DTL">[1]Def_Work!$P$49</definedName>
    <definedName name="R_HYOUJI_E">[3]Def_Work!#REF!</definedName>
    <definedName name="R_SQL_INIT_ANSWER_DATE">[1]Def_Work!$O$49</definedName>
    <definedName name="R_SQL_INIT_ANSWER_QTY">[1]Def_Work!$O$51</definedName>
    <definedName name="R_SQL_REPLY_DATE">[1]Def_Work!$O$53</definedName>
    <definedName name="R_SQL_REPLY_LIMIT_DATE">[1]Def_Work!$O$55</definedName>
    <definedName name="R_WHERE_REPLY_DTL">[1]Def_Work!$Q$49</definedName>
    <definedName name="REPLY_DATE_WIDTH">[1]Def_Work!$O$63</definedName>
    <definedName name="REPLY_LIMIT_DATE_WIDTH">[1]Def_Work!$O$65</definedName>
    <definedName name="Total">#REF!</definedName>
    <definedName name="下期予算_クエリ">#REF!</definedName>
    <definedName name="上期予算_クエリ">#REF!</definedName>
    <definedName name="上期予算Ｄ_クエリ">#REF!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K3" i="3" l="1"/>
  <c r="K3" i="2"/>
  <c r="K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千葉嵩大</author>
  </authors>
  <commentList>
    <comment ref="E5" authorId="0" shapeId="0" xr:uid="{05A96AF4-3CBD-485A-A2AE-E9D0A11E2A0D}">
      <text>
        <r>
          <rPr>
            <b/>
            <sz val="9"/>
            <color indexed="81"/>
            <rFont val="MS P ゴシック"/>
            <family val="3"/>
            <charset val="128"/>
          </rPr>
          <t>①E列とF列にロットと数量を入力する。
②「材料引き当て更新」を押す
③製品に使用される材料ロットが引き当てられる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千葉嵩大</author>
  </authors>
  <commentList>
    <comment ref="E5" authorId="0" shapeId="0" xr:uid="{866CC04C-97A1-4BCC-AF41-58D1ACB38006}">
      <text>
        <r>
          <rPr>
            <b/>
            <sz val="9"/>
            <color indexed="81"/>
            <rFont val="MS P ゴシック"/>
            <family val="3"/>
            <charset val="128"/>
          </rPr>
          <t>①E列とF列にロットと数量を入力する。
②「材料引き当て更新」を押す
③製品に使用される材料ロットが引き当てられる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千葉嵩大</author>
  </authors>
  <commentList>
    <comment ref="E5" authorId="0" shapeId="0" xr:uid="{CDDD854A-4CB2-400A-9F62-C9D7DB805B29}">
      <text>
        <r>
          <rPr>
            <b/>
            <sz val="9"/>
            <color indexed="81"/>
            <rFont val="MS P ゴシック"/>
            <family val="3"/>
            <charset val="128"/>
          </rPr>
          <t>①E列とF列にロットと数量を入力する。
②「材料引き当て更新」を押す
③製品に使用される材料ロットが引き当てられる</t>
        </r>
      </text>
    </comment>
  </commentList>
</comments>
</file>

<file path=xl/sharedStrings.xml><?xml version="1.0" encoding="utf-8"?>
<sst xmlns="http://schemas.openxmlformats.org/spreadsheetml/2006/main" count="117" uniqueCount="43">
  <si>
    <t>使用中の材料ロット</t>
    <rPh sb="0" eb="3">
      <t>シヨウチュウ</t>
    </rPh>
    <rPh sb="4" eb="6">
      <t>ザイリョウ</t>
    </rPh>
    <phoneticPr fontId="3"/>
  </si>
  <si>
    <t>受注数</t>
    <rPh sb="0" eb="3">
      <t>ジュチュウスウ</t>
    </rPh>
    <phoneticPr fontId="7"/>
  </si>
  <si>
    <t>入荷数</t>
    <rPh sb="0" eb="3">
      <t>ニュウカスウ</t>
    </rPh>
    <phoneticPr fontId="3"/>
  </si>
  <si>
    <t>払出数</t>
    <rPh sb="0" eb="3">
      <t>ハライダシスウ</t>
    </rPh>
    <phoneticPr fontId="3"/>
  </si>
  <si>
    <t>材料A</t>
    <rPh sb="0" eb="2">
      <t>ザイリョウ</t>
    </rPh>
    <phoneticPr fontId="3"/>
  </si>
  <si>
    <t>材料Aのロット</t>
    <rPh sb="0" eb="2">
      <t>ザイリョウ</t>
    </rPh>
    <phoneticPr fontId="7"/>
  </si>
  <si>
    <t>製品のロット</t>
    <rPh sb="0" eb="2">
      <t>セイヒン</t>
    </rPh>
    <phoneticPr fontId="3"/>
  </si>
  <si>
    <t>材料の在庫数</t>
    <rPh sb="0" eb="2">
      <t>ザイリョウ</t>
    </rPh>
    <rPh sb="3" eb="6">
      <t>ザイコスウ</t>
    </rPh>
    <phoneticPr fontId="3"/>
  </si>
  <si>
    <t>A001</t>
  </si>
  <si>
    <t>A001</t>
    <phoneticPr fontId="3"/>
  </si>
  <si>
    <t>A002</t>
  </si>
  <si>
    <t>A002</t>
    <phoneticPr fontId="3"/>
  </si>
  <si>
    <t>A003</t>
  </si>
  <si>
    <t>A003</t>
    <phoneticPr fontId="3"/>
  </si>
  <si>
    <t>A004</t>
    <phoneticPr fontId="3"/>
  </si>
  <si>
    <t>材料B</t>
    <rPh sb="0" eb="2">
      <t>ザイリョウ</t>
    </rPh>
    <phoneticPr fontId="3"/>
  </si>
  <si>
    <t>B001</t>
  </si>
  <si>
    <t>B002</t>
  </si>
  <si>
    <t>B003</t>
  </si>
  <si>
    <t>B004</t>
  </si>
  <si>
    <t>B005</t>
  </si>
  <si>
    <t>0601</t>
  </si>
  <si>
    <t>0601</t>
    <phoneticPr fontId="3"/>
  </si>
  <si>
    <t>0602</t>
  </si>
  <si>
    <t>0602</t>
    <phoneticPr fontId="3"/>
  </si>
  <si>
    <t>0603</t>
  </si>
  <si>
    <t>0603</t>
    <phoneticPr fontId="3"/>
  </si>
  <si>
    <t>0701</t>
  </si>
  <si>
    <t>0701</t>
    <phoneticPr fontId="3"/>
  </si>
  <si>
    <t>0702</t>
  </si>
  <si>
    <t>材料C</t>
    <rPh sb="0" eb="2">
      <t>ザイリョウ</t>
    </rPh>
    <phoneticPr fontId="3"/>
  </si>
  <si>
    <t>C001</t>
  </si>
  <si>
    <t>C002</t>
  </si>
  <si>
    <t>C003</t>
  </si>
  <si>
    <t>C004</t>
  </si>
  <si>
    <t>製品の数量</t>
    <rPh sb="0" eb="2">
      <t>セイヒン</t>
    </rPh>
    <rPh sb="3" eb="5">
      <t>スウリョウ</t>
    </rPh>
    <phoneticPr fontId="3"/>
  </si>
  <si>
    <t>材料Bのロット</t>
    <rPh sb="0" eb="2">
      <t>ザイリョウ</t>
    </rPh>
    <phoneticPr fontId="7"/>
  </si>
  <si>
    <t>材料Cのロット</t>
    <rPh sb="0" eb="2">
      <t>ザイリョウ</t>
    </rPh>
    <phoneticPr fontId="7"/>
  </si>
  <si>
    <t>←製品のロットと数量を各シートのB列C列へ入力して実行ボタンを押すと各材料シートへ情報が転記・反映されます</t>
    <rPh sb="1" eb="3">
      <t>セイヒン</t>
    </rPh>
    <rPh sb="8" eb="10">
      <t>スウリョウ</t>
    </rPh>
    <rPh sb="11" eb="12">
      <t>カク</t>
    </rPh>
    <rPh sb="17" eb="18">
      <t>レツ</t>
    </rPh>
    <rPh sb="19" eb="20">
      <t>レツ</t>
    </rPh>
    <rPh sb="21" eb="23">
      <t>ニュウリョク</t>
    </rPh>
    <rPh sb="25" eb="27">
      <t>ジッコウ</t>
    </rPh>
    <rPh sb="31" eb="32">
      <t>オ</t>
    </rPh>
    <rPh sb="34" eb="37">
      <t>カクザイリョウ</t>
    </rPh>
    <rPh sb="41" eb="43">
      <t>ジョウホウ</t>
    </rPh>
    <rPh sb="44" eb="46">
      <t>テンキ</t>
    </rPh>
    <rPh sb="47" eb="49">
      <t>ハンエイ</t>
    </rPh>
    <phoneticPr fontId="3"/>
  </si>
  <si>
    <t>←検索したい製品ロットを選択して実行ボタンを押すと使用された各材料のロットが表示されます。</t>
    <rPh sb="1" eb="3">
      <t>ケンサク</t>
    </rPh>
    <rPh sb="6" eb="8">
      <t>セイヒン</t>
    </rPh>
    <rPh sb="12" eb="14">
      <t>センタク</t>
    </rPh>
    <rPh sb="16" eb="18">
      <t>ジッコウ</t>
    </rPh>
    <rPh sb="22" eb="23">
      <t>オ</t>
    </rPh>
    <rPh sb="25" eb="27">
      <t>シヨウ</t>
    </rPh>
    <rPh sb="30" eb="33">
      <t>カクザイリョウ</t>
    </rPh>
    <rPh sb="38" eb="40">
      <t>ヒョウジ</t>
    </rPh>
    <phoneticPr fontId="3"/>
  </si>
  <si>
    <t>製品の受注数に対して材料の使用数（払出数）と各ロットを表示します。</t>
    <rPh sb="0" eb="2">
      <t>セイヒン</t>
    </rPh>
    <rPh sb="3" eb="6">
      <t>ジュチュウスウ</t>
    </rPh>
    <rPh sb="7" eb="8">
      <t>タイ</t>
    </rPh>
    <rPh sb="10" eb="12">
      <t>ザイリョウ</t>
    </rPh>
    <rPh sb="13" eb="16">
      <t>シヨウスウ</t>
    </rPh>
    <rPh sb="17" eb="19">
      <t>ハライダシ</t>
    </rPh>
    <rPh sb="19" eb="20">
      <t>スウ</t>
    </rPh>
    <rPh sb="22" eb="23">
      <t>カク</t>
    </rPh>
    <rPh sb="27" eb="29">
      <t>ヒョウジ</t>
    </rPh>
    <phoneticPr fontId="3"/>
  </si>
  <si>
    <t>B004</t>
    <phoneticPr fontId="3"/>
  </si>
  <si>
    <t>C003</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</si>
</sst>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_);[Red]\(#,##0\)"/>
  </numFmts>
  <fonts count="12">
    <font>
      <sz val="11"/>
      <color theme="1"/>
      <name val="游ゴシック"/>
      <family val="2"/>
      <charset val="128"/>
      <scheme val="minor"/>
    </font>
    <font>
      <sz val="11"/>
      <color rgb="FF000000"/>
      <name val="ＭＳ Ｐゴシック"/>
      <family val="3"/>
      <charset val="128"/>
    </font>
    <font>
      <sz val="11"/>
      <name val="ＭＳ Ｐゴシック"/>
      <family val="3"/>
      <charset val="128"/>
    </font>
    <font>
      <sz val="6"/>
      <name val="游ゴシック"/>
      <family val="2"/>
      <charset val="128"/>
      <scheme val="minor"/>
    </font>
    <font>
      <b/>
      <sz val="11"/>
      <name val="ＭＳ Ｐゴシック"/>
      <family val="3"/>
      <charset val="128"/>
    </font>
    <font>
      <sz val="16"/>
      <name val="Impact"/>
      <family val="2"/>
    </font>
    <font>
      <sz val="11"/>
      <color rgb="FF222222"/>
      <name val="ＭＳ Ｐゴシック"/>
      <family val="3"/>
      <charset val="128"/>
    </font>
    <font>
      <sz val="6"/>
      <name val="ＭＳ Ｐゴシック"/>
      <family val="3"/>
      <charset val="128"/>
    </font>
    <font>
      <b/>
      <sz val="14"/>
      <name val="ＭＳ Ｐゴシック"/>
      <family val="3"/>
      <charset val="128"/>
    </font>
    <font>
      <b/>
      <sz val="11"/>
      <color theme="1"/>
      <name val="游ゴシック"/>
      <family val="3"/>
      <charset val="128"/>
      <scheme val="minor"/>
    </font>
    <font>
      <b/>
      <sz val="9"/>
      <color indexed="81"/>
      <name val="MS P ゴシック"/>
      <family val="3"/>
      <charset val="128"/>
    </font>
    <font>
      <sz val="11"/>
      <color rgb="FF000000"/>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FFFF00"/>
        <bgColor indexed="64"/>
      </patternFill>
    </fill>
  </fills>
  <borders count="9">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alignment vertical="center"/>
    </xf>
    <xf numFmtId="0" fontId="2" fillId="0" borderId="0">
      <alignment vertical="center"/>
    </xf>
  </cellStyleXfs>
  <cellXfs count="37">
    <xf numFmtId="0" fontId="0" fillId="0" borderId="0" xfId="0">
      <alignment vertical="center"/>
    </xf>
    <xf numFmtId="0" fontId="2" fillId="0" borderId="0" xfId="1" applyAlignment="1">
      <alignment horizontal="center" vertical="center"/>
    </xf>
    <xf numFmtId="0" fontId="4" fillId="0" borderId="0" xfId="1" applyFont="1" applyAlignment="1">
      <alignment horizontal="right" vertical="center"/>
    </xf>
    <xf numFmtId="49" fontId="2" fillId="0" borderId="2" xfId="1" applyNumberFormat="1" applyBorder="1" applyAlignment="1">
      <alignment horizontal="center" vertical="center"/>
    </xf>
    <xf numFmtId="176" fontId="2" fillId="0" borderId="0" xfId="1" applyNumberFormat="1" applyAlignment="1">
      <alignment horizontal="center" vertical="center"/>
    </xf>
    <xf numFmtId="177" fontId="2" fillId="0" borderId="5" xfId="1" applyNumberFormat="1" applyBorder="1" applyAlignment="1">
      <alignment horizontal="center" vertical="center"/>
    </xf>
    <xf numFmtId="0" fontId="2" fillId="0" borderId="0" xfId="1" applyAlignment="1">
      <alignment horizontal="left" vertical="center"/>
    </xf>
    <xf numFmtId="49" fontId="2" fillId="0" borderId="0" xfId="1" applyNumberFormat="1" applyAlignment="1">
      <alignment horizontal="center" vertical="center"/>
    </xf>
    <xf numFmtId="0" fontId="6" fillId="2" borderId="5" xfId="1" applyFont="1" applyFill="1" applyBorder="1" applyAlignment="1">
      <alignment horizontal="center" vertical="center"/>
    </xf>
    <xf numFmtId="176" fontId="6" fillId="0" borderId="5" xfId="1" applyNumberFormat="1" applyFont="1" applyBorder="1" applyAlignment="1">
      <alignment horizontal="center" vertical="center"/>
    </xf>
    <xf numFmtId="49" fontId="6" fillId="0" borderId="5" xfId="1" applyNumberFormat="1" applyFont="1" applyBorder="1" applyAlignment="1">
      <alignment horizontal="center" vertical="center"/>
    </xf>
    <xf numFmtId="176" fontId="2" fillId="0" borderId="5" xfId="1" applyNumberFormat="1" applyBorder="1" applyAlignment="1">
      <alignment horizontal="center" vertical="center"/>
    </xf>
    <xf numFmtId="0" fontId="6" fillId="0" borderId="6" xfId="1" applyFont="1" applyBorder="1" applyAlignment="1">
      <alignment horizontal="center" vertical="center"/>
    </xf>
    <xf numFmtId="0" fontId="6" fillId="0" borderId="7" xfId="1" applyFont="1" applyBorder="1" applyAlignment="1">
      <alignment horizontal="center" vertical="center"/>
    </xf>
    <xf numFmtId="49" fontId="2" fillId="0" borderId="5" xfId="1" applyNumberFormat="1" applyBorder="1" applyAlignment="1">
      <alignment horizontal="center" vertical="center"/>
    </xf>
    <xf numFmtId="49" fontId="6" fillId="3" borderId="5" xfId="1" applyNumberFormat="1" applyFont="1" applyFill="1" applyBorder="1" applyAlignment="1">
      <alignment horizontal="center" vertical="center"/>
    </xf>
    <xf numFmtId="0" fontId="6" fillId="3" borderId="5" xfId="1" applyFont="1" applyFill="1" applyBorder="1" applyAlignment="1">
      <alignment horizontal="center" vertical="center"/>
    </xf>
    <xf numFmtId="49" fontId="2" fillId="3" borderId="1" xfId="1" applyNumberFormat="1" applyFill="1" applyBorder="1">
      <alignment vertical="center"/>
    </xf>
    <xf numFmtId="0" fontId="2" fillId="3" borderId="2" xfId="1" applyFill="1" applyBorder="1" applyAlignment="1">
      <alignment horizontal="center" vertical="center"/>
    </xf>
    <xf numFmtId="49" fontId="2" fillId="3" borderId="3" xfId="1" applyNumberFormat="1" applyFill="1" applyBorder="1">
      <alignment vertical="center"/>
    </xf>
    <xf numFmtId="0" fontId="2" fillId="3" borderId="4" xfId="1" applyFill="1" applyBorder="1" applyAlignment="1">
      <alignment horizontal="center" vertical="center"/>
    </xf>
    <xf numFmtId="49" fontId="2" fillId="0" borderId="0" xfId="1" applyNumberFormat="1" applyBorder="1" applyAlignment="1">
      <alignment horizontal="center" vertical="center"/>
    </xf>
    <xf numFmtId="176" fontId="2" fillId="0" borderId="0" xfId="1" applyNumberFormat="1" applyBorder="1" applyAlignment="1">
      <alignment horizontal="center" vertical="center"/>
    </xf>
    <xf numFmtId="49" fontId="8" fillId="0" borderId="0" xfId="1" applyNumberFormat="1" applyFont="1" applyAlignment="1">
      <alignment horizontal="center" vertical="center"/>
    </xf>
    <xf numFmtId="49" fontId="5" fillId="0" borderId="0" xfId="1" applyNumberFormat="1" applyFont="1">
      <alignment vertical="center"/>
    </xf>
    <xf numFmtId="49" fontId="2" fillId="0" borderId="0" xfId="1" applyNumberFormat="1">
      <alignment vertical="center"/>
    </xf>
    <xf numFmtId="49" fontId="6" fillId="2" borderId="5" xfId="1" applyNumberFormat="1" applyFont="1" applyFill="1" applyBorder="1" applyAlignment="1">
      <alignment horizontal="center" vertical="center"/>
    </xf>
    <xf numFmtId="0" fontId="9" fillId="3" borderId="5" xfId="0" applyFont="1" applyFill="1" applyBorder="1">
      <alignment vertical="center"/>
    </xf>
    <xf numFmtId="0" fontId="0" fillId="0" borderId="5" xfId="0" applyBorder="1">
      <alignment vertical="center"/>
    </xf>
    <xf numFmtId="49" fontId="9" fillId="0" borderId="5" xfId="0" applyNumberFormat="1" applyFont="1" applyBorder="1">
      <alignment vertical="center"/>
    </xf>
    <xf numFmtId="0" fontId="9" fillId="0" borderId="0" xfId="0" applyFont="1" applyBorder="1" applyAlignment="1">
      <alignment horizontal="center" vertical="center"/>
    </xf>
    <xf numFmtId="49" fontId="9" fillId="0" borderId="0" xfId="0" applyNumberFormat="1" applyFont="1" applyBorder="1">
      <alignment vertical="center"/>
    </xf>
    <xf numFmtId="176" fontId="9" fillId="0" borderId="5" xfId="0" applyNumberFormat="1" applyFont="1" applyBorder="1">
      <alignment vertical="center"/>
    </xf>
    <xf numFmtId="49" fontId="9" fillId="0" borderId="8" xfId="0" applyNumberFormat="1" applyFont="1" applyBorder="1">
      <alignment vertical="center"/>
    </xf>
    <xf numFmtId="0" fontId="9" fillId="0" borderId="1" xfId="0" applyFont="1" applyBorder="1" applyAlignment="1">
      <alignment horizontal="center" vertical="center"/>
    </xf>
    <xf numFmtId="0" fontId="9" fillId="0" borderId="2" xfId="0" applyFont="1" applyBorder="1" applyAlignment="1">
      <alignment horizontal="center" vertical="center"/>
    </xf>
    <xf numFmtId="0" fontId="9" fillId="0" borderId="5" xfId="0" applyFont="1" applyBorder="1" applyAlignment="1">
      <alignment horizontal="center" vertical="center"/>
    </xf>
  </cellXfs>
  <cellStyles count="2">
    <cellStyle name="標準" xfId="0" builtinId="0"/>
    <cellStyle name="標準 2 4" xfId="1" xr:uid="{03683F9E-3C97-4723-9CFC-21652ED29DA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3</xdr:row>
          <xdr:rowOff>0</xdr:rowOff>
        </xdr:from>
        <xdr:to>
          <xdr:col>8</xdr:col>
          <xdr:colOff>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0</xdr:rowOff>
        </xdr:from>
        <xdr:to>
          <xdr:col>8</xdr:col>
          <xdr:colOff>0</xdr:colOff>
          <xdr:row>6</xdr:row>
          <xdr:rowOff>7620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289560</xdr:rowOff>
        </xdr:from>
        <xdr:to>
          <xdr:col>2</xdr:col>
          <xdr:colOff>510540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材料引き当て更新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289560</xdr:rowOff>
        </xdr:from>
        <xdr:to>
          <xdr:col>3</xdr:col>
          <xdr:colOff>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材料引き当て更新</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289560</xdr:rowOff>
        </xdr:from>
        <xdr:to>
          <xdr:col>3</xdr:col>
          <xdr:colOff>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材料引き当て更新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DK/&#20107;&#26989;&#37096;&#27880;&#27531;&#26126;&#3204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Tanaka\&#30000;&#20013;VBA&#12496;&#12483;&#12463;&#12450;&#12483;&#12503;\2015&#24180;\20151016_&#27880;&#27531;&#26126;&#32048;\Order_status_lis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DK/&#29694;&#22312;&#2423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
      <sheetName val="Def_Work"/>
      <sheetName val="Security"/>
      <sheetName val="LIST"/>
      <sheetName val="P_SYUKKA"/>
      <sheetName val="Pipot_1"/>
      <sheetName val="Pipot_Work"/>
      <sheetName val="P_IRAIHYO"/>
      <sheetName val="依頼書・国内用"/>
      <sheetName val="D01"/>
      <sheetName val="D02"/>
      <sheetName val="D03"/>
      <sheetName val="D04"/>
      <sheetName val="D05"/>
      <sheetName val="D06"/>
      <sheetName val="D07"/>
      <sheetName val="D08"/>
      <sheetName val="D09"/>
      <sheetName val="D10"/>
      <sheetName val="D11"/>
      <sheetName val="D12"/>
      <sheetName val="D13"/>
      <sheetName val="D14"/>
    </sheetNames>
    <sheetDataSet>
      <sheetData sheetId="0" refreshError="1"/>
      <sheetData sheetId="1">
        <row r="49">
          <cell r="O49" t="str">
            <v xml:space="preserve"> case when a.dept_j in ('C1','L3') then substr(r.init_answer_date,1,4)||'/'||substr(r.init_answer_date,5,2)||'/'||substr(r.init_answer_date,7,2) else null end init_answer_date,</v>
          </cell>
          <cell r="P49" t="str">
            <v xml:space="preserve"> ( SELECT s.sales_location,s.ovs_cust_no,s.order_no,s.request_date,MAX(s.init_answer_date) init_answer_date,MAX(s.init_answer_qty)  init_answer_qty,MAX(s.reply_date) reply_date,MAX(s.reply_limit_date) reply_limit_date FROM v_reply_dtl_asw_yen s WHERE s.divided_no = '1' GROUP BY s.sales_location,s.ovs_cust_no,s.order_no,s.request_date) r,</v>
          </cell>
          <cell r="Q49" t="str">
            <v xml:space="preserve"> and (a.sales_location = r.sales_location(+) and a.customer_no = r.ovs_cust_no(+) and a.order_no = r.order_no(+) and a.request_date = r.request_date(+))</v>
          </cell>
        </row>
        <row r="51">
          <cell r="O51" t="str">
            <v xml:space="preserve"> case when a.dept_j in ('C1','L3') then r.init_answer_qty else null end init_answer_qty,</v>
          </cell>
        </row>
        <row r="53">
          <cell r="O53" t="str">
            <v xml:space="preserve"> case when a.dept_j in ('C1','L3') then substr(r.reply_date,1,4)||'/'||substr(r.reply_date,5,2)||'/'||substr(r.reply_date,7,2) else null end reply_date,</v>
          </cell>
        </row>
        <row r="55">
          <cell r="O55" t="str">
            <v xml:space="preserve"> case when a.dept_j in ('C1','L3') then substr(r.reply_limit_date,1,4)||'/'||substr(r.reply_limit_date,5,2)||'/'||substr(r.reply_limit_date,7,2) else null end reply_limit_date,</v>
          </cell>
        </row>
        <row r="59">
          <cell r="O59" t="str">
            <v>6.5</v>
          </cell>
        </row>
        <row r="61">
          <cell r="O61" t="str">
            <v>8</v>
          </cell>
        </row>
        <row r="63">
          <cell r="O63" t="str">
            <v>6.5</v>
          </cell>
        </row>
        <row r="65">
          <cell r="O65" t="str">
            <v>6.5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
      <sheetName val="Def_Work"/>
      <sheetName val="P_ICHIRAN"/>
      <sheetName val="P_SYUKKA"/>
      <sheetName val="P_IRAIHYO"/>
      <sheetName val="P_CANCEL"/>
      <sheetName val="P_SYUKKASIJI"/>
      <sheetName val="P_SYUKKAHENKO"/>
      <sheetName val="P_TOKUBIN"/>
      <sheetName val="Pipot_1"/>
      <sheetName val="Pipot_Work"/>
      <sheetName val="P_NOUKISASIKAE"/>
      <sheetName val="D01"/>
      <sheetName val="D02"/>
      <sheetName val="D03"/>
      <sheetName val="D04"/>
      <sheetName val="D05"/>
      <sheetName val="D07"/>
      <sheetName val="D08"/>
      <sheetName val="D09"/>
      <sheetName val="D99"/>
      <sheetName val="D13"/>
      <sheetName val="D14"/>
      <sheetName val="Sheet1"/>
      <sheetName val="Order_status_list"/>
    </sheetNames>
    <sheetDataSet>
      <sheetData sheetId="0" refreshError="1"/>
      <sheetData sheetId="1">
        <row r="4">
          <cell r="AA4" t="str">
            <v>Location code</v>
          </cell>
          <cell r="AI4" t="str">
            <v>Location code</v>
          </cell>
        </row>
        <row r="5">
          <cell r="AA5" t="str">
            <v>Division</v>
          </cell>
          <cell r="AI5" t="str">
            <v>Division</v>
          </cell>
        </row>
        <row r="6">
          <cell r="AA6" t="str">
            <v>Item code</v>
          </cell>
          <cell r="AI6" t="str">
            <v>Item Code</v>
          </cell>
        </row>
        <row r="7">
          <cell r="AA7" t="str">
            <v>Item Desc</v>
          </cell>
          <cell r="AI7" t="str">
            <v>Item Desc</v>
          </cell>
        </row>
        <row r="8">
          <cell r="AA8" t="str">
            <v>Customer</v>
          </cell>
          <cell r="AI8" t="str">
            <v>Customer</v>
          </cell>
        </row>
        <row r="9">
          <cell r="AA9" t="str">
            <v>Customer name</v>
          </cell>
          <cell r="AI9" t="str">
            <v>Customer name</v>
          </cell>
        </row>
        <row r="10">
          <cell r="AA10" t="str">
            <v>P#</v>
          </cell>
          <cell r="AI10" t="str">
            <v>P#</v>
          </cell>
        </row>
        <row r="11">
          <cell r="AA11" t="str">
            <v>W/H stock</v>
          </cell>
          <cell r="AI11" t="str">
            <v>C/Obalance（T/Pbalance)</v>
          </cell>
        </row>
        <row r="12">
          <cell r="AA12" t="str">
            <v>Consingment stock</v>
          </cell>
          <cell r="AI12" t="str">
            <v>R/Obalance</v>
          </cell>
        </row>
        <row r="13">
          <cell r="AA13" t="str">
            <v>Onboard</v>
          </cell>
          <cell r="AI13" t="str">
            <v>F/I Qty</v>
          </cell>
        </row>
        <row r="14">
          <cell r="AA14" t="str">
            <v>Slow 3mo+</v>
          </cell>
          <cell r="AI14" t="str">
            <v>Stock Balance</v>
          </cell>
        </row>
        <row r="15">
          <cell r="AA15" t="str">
            <v>Slow 6mo+</v>
          </cell>
          <cell r="AI15" t="str">
            <v>RequestDate</v>
          </cell>
        </row>
        <row r="16">
          <cell r="AA16" t="str">
            <v>Time Diff</v>
          </cell>
          <cell r="AI16" t="str">
            <v>InputDate</v>
          </cell>
        </row>
        <row r="17">
          <cell r="AA17" t="str">
            <v>Vendor(Plant)</v>
          </cell>
          <cell r="AI17" t="str">
            <v>Customer PO No</v>
          </cell>
        </row>
        <row r="18">
          <cell r="AA18" t="str">
            <v>Information_date</v>
          </cell>
          <cell r="AI18" t="str">
            <v>Order No</v>
          </cell>
        </row>
        <row r="19">
          <cell r="AI19" t="str">
            <v>Selling price</v>
          </cell>
        </row>
        <row r="20">
          <cell r="AI20" t="str">
            <v>Amount-local</v>
          </cell>
        </row>
        <row r="21">
          <cell r="AI21" t="str">
            <v>Currency</v>
          </cell>
        </row>
        <row r="22">
          <cell r="AI22" t="str">
            <v>Yen-amount</v>
          </cell>
        </row>
        <row r="23">
          <cell r="AI23" t="str">
            <v>Vendor(Plant)</v>
          </cell>
        </row>
        <row r="24">
          <cell r="AI24" t="str">
            <v>Information_date</v>
          </cell>
        </row>
        <row r="25">
          <cell r="AI25" t="str">
            <v>Order_type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
      <sheetName val="Def_Work"/>
      <sheetName val="D01"/>
      <sheetName val="D02"/>
      <sheetName val="D03"/>
      <sheetName val="D99"/>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43596-344A-4B3D-9B00-46819210F260}">
  <sheetPr codeName="Sheet2"/>
  <dimension ref="C3:F5"/>
  <sheetViews>
    <sheetView zoomScale="120" zoomScaleNormal="120" workbookViewId="0">
      <selection activeCell="E5" sqref="E5"/>
    </sheetView>
  </sheetViews>
  <sheetFormatPr defaultRowHeight="18"/>
  <sheetData>
    <row r="3" spans="3:6">
      <c r="C3" s="34" t="s">
        <v>6</v>
      </c>
      <c r="D3" s="35"/>
      <c r="E3" s="29"/>
      <c r="F3" t="s">
        <v>38</v>
      </c>
    </row>
    <row r="4" spans="3:6">
      <c r="C4" s="34" t="s">
        <v>35</v>
      </c>
      <c r="D4" s="35"/>
      <c r="E4" s="32"/>
    </row>
    <row r="5" spans="3:6">
      <c r="C5" s="30"/>
      <c r="D5" s="30"/>
      <c r="E5" s="31"/>
    </row>
  </sheetData>
  <mergeCells count="2">
    <mergeCell ref="C3:D3"/>
    <mergeCell ref="C4:D4"/>
  </mergeCells>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heet2.製品を登録する">
                <anchor moveWithCells="1" sizeWithCells="1">
                  <from>
                    <xdr:col>6</xdr:col>
                    <xdr:colOff>0</xdr:colOff>
                    <xdr:row>3</xdr:row>
                    <xdr:rowOff>0</xdr:rowOff>
                  </from>
                  <to>
                    <xdr:col>8</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19E85-1E82-448F-89BC-66C7450506B9}">
  <sheetPr codeName="Sheet1"/>
  <dimension ref="C1:F7"/>
  <sheetViews>
    <sheetView tabSelected="1" zoomScale="120" zoomScaleNormal="120" workbookViewId="0">
      <selection activeCell="G11" sqref="G11"/>
    </sheetView>
  </sheetViews>
  <sheetFormatPr defaultRowHeight="18"/>
  <sheetData>
    <row r="1" spans="3:6">
      <c r="C1" s="30"/>
      <c r="D1" s="30"/>
      <c r="E1" s="31"/>
    </row>
    <row r="2" spans="3:6" ht="18.600000000000001" thickBot="1">
      <c r="F2" t="s">
        <v>40</v>
      </c>
    </row>
    <row r="3" spans="3:6" ht="18.600000000000001" thickBot="1">
      <c r="C3" s="36" t="s">
        <v>6</v>
      </c>
      <c r="D3" s="34"/>
      <c r="E3" s="33" t="s">
        <v>29</v>
      </c>
      <c r="F3" t="s">
        <v>39</v>
      </c>
    </row>
    <row r="5" spans="3:6">
      <c r="C5" s="27" t="s">
        <v>4</v>
      </c>
      <c r="D5" s="27" t="s">
        <v>15</v>
      </c>
      <c r="E5" s="27" t="s">
        <v>30</v>
      </c>
    </row>
    <row r="6" spans="3:6">
      <c r="C6" s="28" t="s">
        <v>10</v>
      </c>
      <c r="D6" s="28" t="s">
        <v>19</v>
      </c>
      <c r="E6" s="28" t="s">
        <v>33</v>
      </c>
    </row>
    <row r="7" spans="3:6">
      <c r="C7" s="28" t="s">
        <v>12</v>
      </c>
      <c r="D7" s="28"/>
      <c r="E7" s="28"/>
    </row>
  </sheetData>
  <mergeCells count="1">
    <mergeCell ref="C3:D3"/>
  </mergeCells>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heet1.ロット検索">
                <anchor moveWithCells="1" sizeWithCells="1">
                  <from>
                    <xdr:col>6</xdr:col>
                    <xdr:colOff>0</xdr:colOff>
                    <xdr:row>4</xdr:row>
                    <xdr:rowOff>0</xdr:rowOff>
                  </from>
                  <to>
                    <xdr:col>8</xdr:col>
                    <xdr:colOff>0</xdr:colOff>
                    <xdr:row>6</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385E264-AB08-4373-9C71-9EB8E3495A37}">
          <x14:formula1>
            <xm:f>材料A!$B$6:$B$50</xm:f>
          </x14:formula1>
          <xm:sqref>E3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D2A4C-2954-483A-9FCF-58148779F53B}">
  <sheetPr codeName="Sheet19"/>
  <dimension ref="A1:M14"/>
  <sheetViews>
    <sheetView zoomScale="140" zoomScaleNormal="140" workbookViewId="0">
      <pane ySplit="5" topLeftCell="A6" activePane="bottomLeft" state="frozen"/>
      <selection activeCell="E15" sqref="E15"/>
      <selection pane="bottomLeft" activeCell="M4" sqref="M4"/>
    </sheetView>
  </sheetViews>
  <sheetFormatPr defaultColWidth="8.09765625" defaultRowHeight="13.2"/>
  <cols>
    <col min="1" max="1" width="2.5" style="1" customWidth="1"/>
    <col min="2" max="2" width="12.5" style="7" bestFit="1" customWidth="1"/>
    <col min="3" max="3" width="6.69921875" style="4" bestFit="1" customWidth="1"/>
    <col min="4" max="4" width="2.5" style="1" customWidth="1"/>
    <col min="5" max="5" width="12.5" style="7" customWidth="1"/>
    <col min="6" max="7" width="6.69921875" style="4" customWidth="1"/>
    <col min="8" max="8" width="2.5" style="1" customWidth="1"/>
    <col min="9" max="9" width="12.5" style="7" customWidth="1"/>
    <col min="10" max="10" width="6.69921875" style="4" customWidth="1"/>
    <col min="11" max="11" width="12.5" style="7" customWidth="1"/>
    <col min="12" max="12" width="6.69921875" style="4" customWidth="1"/>
    <col min="13" max="16384" width="8.09765625" style="1"/>
  </cols>
  <sheetData>
    <row r="1" spans="1:13" ht="22.95" customHeight="1">
      <c r="B1" s="23" t="s">
        <v>4</v>
      </c>
      <c r="C1" s="1"/>
      <c r="E1" s="1"/>
      <c r="F1" s="1"/>
      <c r="G1" s="1"/>
      <c r="J1" s="1"/>
      <c r="K1" s="1"/>
      <c r="L1" s="1"/>
    </row>
    <row r="2" spans="1:13" ht="13.95" customHeight="1">
      <c r="C2" s="1"/>
      <c r="D2" s="2"/>
      <c r="E2" s="1"/>
      <c r="F2" s="1"/>
      <c r="G2" s="1"/>
      <c r="I2" s="17" t="s">
        <v>0</v>
      </c>
      <c r="J2" s="18"/>
      <c r="K2" s="3" t="s">
        <v>13</v>
      </c>
    </row>
    <row r="3" spans="1:13" ht="13.95" customHeight="1">
      <c r="B3" s="24"/>
      <c r="C3" s="1"/>
      <c r="D3" s="2"/>
      <c r="E3" s="1"/>
      <c r="F3" s="1"/>
      <c r="G3" s="1"/>
      <c r="I3" s="19" t="s">
        <v>7</v>
      </c>
      <c r="J3" s="20"/>
      <c r="K3" s="5">
        <f>SUM(F:F)-SUM(G:G)</f>
        <v>1200</v>
      </c>
      <c r="M3" s="6"/>
    </row>
    <row r="4" spans="1:13">
      <c r="B4" s="25"/>
      <c r="C4" s="1"/>
      <c r="D4" s="2"/>
      <c r="F4" s="1"/>
      <c r="G4" s="1"/>
      <c r="J4" s="1"/>
      <c r="K4" s="1"/>
      <c r="L4" s="1"/>
    </row>
    <row r="5" spans="1:13">
      <c r="B5" s="26" t="s">
        <v>6</v>
      </c>
      <c r="C5" s="8" t="s">
        <v>1</v>
      </c>
      <c r="D5" s="2"/>
      <c r="E5" s="15" t="s">
        <v>5</v>
      </c>
      <c r="F5" s="16" t="s">
        <v>2</v>
      </c>
      <c r="G5" s="16" t="s">
        <v>3</v>
      </c>
      <c r="I5" s="26" t="s">
        <v>6</v>
      </c>
      <c r="J5" s="8" t="s">
        <v>1</v>
      </c>
      <c r="K5" s="15" t="s">
        <v>5</v>
      </c>
      <c r="L5" s="16" t="s">
        <v>3</v>
      </c>
    </row>
    <row r="6" spans="1:13" ht="13.5" customHeight="1">
      <c r="B6" s="10" t="s">
        <v>22</v>
      </c>
      <c r="C6" s="9">
        <v>300</v>
      </c>
      <c r="D6" s="2"/>
      <c r="E6" s="10" t="s">
        <v>9</v>
      </c>
      <c r="F6" s="11">
        <v>500</v>
      </c>
      <c r="G6" s="11">
        <v>500</v>
      </c>
      <c r="I6" s="10" t="s">
        <v>21</v>
      </c>
      <c r="J6" s="9">
        <v>300</v>
      </c>
      <c r="K6" s="10" t="s">
        <v>8</v>
      </c>
      <c r="L6" s="9">
        <v>300</v>
      </c>
    </row>
    <row r="7" spans="1:13" ht="13.5" customHeight="1">
      <c r="B7" s="10" t="s">
        <v>24</v>
      </c>
      <c r="C7" s="9">
        <v>400</v>
      </c>
      <c r="D7" s="2"/>
      <c r="E7" s="10" t="s">
        <v>11</v>
      </c>
      <c r="F7" s="9">
        <v>1000</v>
      </c>
      <c r="G7" s="9">
        <v>1000</v>
      </c>
      <c r="I7" s="10" t="s">
        <v>23</v>
      </c>
      <c r="J7" s="9">
        <v>400</v>
      </c>
      <c r="K7" s="10" t="s">
        <v>8</v>
      </c>
      <c r="L7" s="9">
        <v>200</v>
      </c>
    </row>
    <row r="8" spans="1:13" ht="13.5" customHeight="1">
      <c r="B8" s="10" t="s">
        <v>26</v>
      </c>
      <c r="C8" s="9">
        <v>500</v>
      </c>
      <c r="D8" s="12"/>
      <c r="E8" s="10" t="s">
        <v>13</v>
      </c>
      <c r="F8" s="9">
        <v>500</v>
      </c>
      <c r="G8" s="9">
        <v>300</v>
      </c>
      <c r="H8" s="12"/>
      <c r="I8" s="10"/>
      <c r="J8" s="9"/>
      <c r="K8" s="10" t="s">
        <v>10</v>
      </c>
      <c r="L8" s="9">
        <v>200</v>
      </c>
    </row>
    <row r="9" spans="1:13">
      <c r="B9" s="10" t="s">
        <v>28</v>
      </c>
      <c r="C9" s="9">
        <v>200</v>
      </c>
      <c r="D9" s="12"/>
      <c r="E9" s="10" t="s">
        <v>14</v>
      </c>
      <c r="F9" s="9">
        <v>1000</v>
      </c>
      <c r="G9" s="9"/>
      <c r="H9" s="12"/>
      <c r="I9" s="10" t="s">
        <v>25</v>
      </c>
      <c r="J9" s="9">
        <v>500</v>
      </c>
      <c r="K9" s="10" t="s">
        <v>10</v>
      </c>
      <c r="L9" s="9">
        <v>500</v>
      </c>
    </row>
    <row r="10" spans="1:13">
      <c r="B10" s="14" t="s">
        <v>29</v>
      </c>
      <c r="C10" s="11">
        <v>400</v>
      </c>
      <c r="E10" s="21"/>
      <c r="F10" s="22"/>
      <c r="G10" s="22"/>
      <c r="H10" s="13"/>
      <c r="I10" s="10" t="s">
        <v>27</v>
      </c>
      <c r="J10" s="9">
        <v>200</v>
      </c>
      <c r="K10" s="10" t="s">
        <v>10</v>
      </c>
      <c r="L10" s="9">
        <v>200</v>
      </c>
    </row>
    <row r="11" spans="1:13">
      <c r="H11" s="13"/>
      <c r="I11" s="10" t="s">
        <v>29</v>
      </c>
      <c r="J11" s="9">
        <v>400</v>
      </c>
      <c r="K11" s="10" t="s">
        <v>10</v>
      </c>
      <c r="L11" s="9">
        <v>100</v>
      </c>
    </row>
    <row r="12" spans="1:13">
      <c r="H12" s="13"/>
      <c r="I12" s="10"/>
      <c r="J12" s="9"/>
      <c r="K12" s="10" t="s">
        <v>12</v>
      </c>
      <c r="L12" s="9">
        <v>300</v>
      </c>
    </row>
    <row r="14" spans="1:13">
      <c r="A14" s="7"/>
      <c r="D14" s="7"/>
    </row>
  </sheetData>
  <phoneticPr fontId="3"/>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9.LOT_CHANGE">
                <anchor moveWithCells="1" sizeWithCells="1">
                  <from>
                    <xdr:col>1</xdr:col>
                    <xdr:colOff>0</xdr:colOff>
                    <xdr:row>0</xdr:row>
                    <xdr:rowOff>289560</xdr:rowOff>
                  </from>
                  <to>
                    <xdr:col>2</xdr:col>
                    <xdr:colOff>510540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241E9-7285-45E0-B1E2-4675F6940C96}">
  <sheetPr codeName="Sheet20"/>
  <dimension ref="A1:M33"/>
  <sheetViews>
    <sheetView zoomScale="140" zoomScaleNormal="140" workbookViewId="0">
      <pane ySplit="5" topLeftCell="A6" activePane="bottomLeft" state="frozen"/>
      <selection activeCell="C10" sqref="C10"/>
      <selection pane="bottomLeft" activeCell="M3" sqref="M3"/>
    </sheetView>
  </sheetViews>
  <sheetFormatPr defaultColWidth="8.09765625" defaultRowHeight="13.2"/>
  <cols>
    <col min="1" max="1" width="2.5" style="1" customWidth="1"/>
    <col min="2" max="2" width="12.5" style="7" bestFit="1" customWidth="1"/>
    <col min="3" max="3" width="6.69921875" style="4" bestFit="1" customWidth="1"/>
    <col min="4" max="4" width="2.5" style="1" customWidth="1"/>
    <col min="5" max="5" width="12.5" style="7" customWidth="1"/>
    <col min="6" max="7" width="6.69921875" style="4" customWidth="1"/>
    <col min="8" max="8" width="2.5" style="1" customWidth="1"/>
    <col min="9" max="9" width="12.5" style="7" customWidth="1"/>
    <col min="10" max="10" width="6.69921875" style="4" customWidth="1"/>
    <col min="11" max="11" width="12.5" style="7" customWidth="1"/>
    <col min="12" max="12" width="6.69921875" style="4" customWidth="1"/>
    <col min="13" max="16384" width="8.09765625" style="1"/>
  </cols>
  <sheetData>
    <row r="1" spans="1:13" ht="22.95" customHeight="1">
      <c r="B1" s="23" t="s">
        <v>15</v>
      </c>
      <c r="C1" s="1"/>
      <c r="E1" s="1"/>
      <c r="F1" s="1"/>
      <c r="G1" s="1"/>
      <c r="J1" s="1"/>
      <c r="K1" s="1"/>
      <c r="L1" s="1"/>
    </row>
    <row r="2" spans="1:13" ht="13.95" customHeight="1">
      <c r="C2" s="1"/>
      <c r="D2" s="2"/>
      <c r="E2" s="1"/>
      <c r="F2" s="1"/>
      <c r="G2" s="1"/>
      <c r="I2" s="17" t="s">
        <v>0</v>
      </c>
      <c r="J2" s="18"/>
      <c r="K2" s="3" t="s">
        <v>41</v>
      </c>
    </row>
    <row r="3" spans="1:13" ht="13.95" customHeight="1">
      <c r="B3" s="24"/>
      <c r="C3" s="1"/>
      <c r="D3" s="2"/>
      <c r="E3" s="1"/>
      <c r="F3" s="1"/>
      <c r="G3" s="1"/>
      <c r="I3" s="19" t="s">
        <v>7</v>
      </c>
      <c r="J3" s="20"/>
      <c r="K3" s="5">
        <f>SUM(F:F)-SUM(G:G)</f>
        <v>600</v>
      </c>
      <c r="M3" s="6"/>
    </row>
    <row r="4" spans="1:13">
      <c r="B4" s="25"/>
      <c r="C4" s="1"/>
      <c r="D4" s="2"/>
      <c r="F4" s="1"/>
      <c r="G4" s="1"/>
      <c r="J4" s="1"/>
      <c r="K4" s="1"/>
      <c r="L4" s="1"/>
    </row>
    <row r="5" spans="1:13">
      <c r="B5" s="26" t="s">
        <v>6</v>
      </c>
      <c r="C5" s="8" t="s">
        <v>1</v>
      </c>
      <c r="D5" s="2"/>
      <c r="E5" s="15" t="s">
        <v>36</v>
      </c>
      <c r="F5" s="16" t="s">
        <v>2</v>
      </c>
      <c r="G5" s="16" t="s">
        <v>3</v>
      </c>
      <c r="I5" s="26" t="s">
        <v>6</v>
      </c>
      <c r="J5" s="8" t="s">
        <v>1</v>
      </c>
      <c r="K5" s="15" t="s">
        <v>36</v>
      </c>
      <c r="L5" s="16" t="s">
        <v>3</v>
      </c>
    </row>
    <row r="6" spans="1:13" ht="13.5" customHeight="1">
      <c r="B6" s="10" t="s">
        <v>22</v>
      </c>
      <c r="C6" s="9">
        <v>300</v>
      </c>
      <c r="D6" s="2"/>
      <c r="E6" s="10" t="s">
        <v>16</v>
      </c>
      <c r="F6" s="11">
        <v>400</v>
      </c>
      <c r="G6" s="11">
        <v>400</v>
      </c>
      <c r="I6" s="10" t="s">
        <v>21</v>
      </c>
      <c r="J6" s="9">
        <v>300</v>
      </c>
      <c r="K6" s="10" t="s">
        <v>16</v>
      </c>
      <c r="L6" s="9">
        <v>300</v>
      </c>
    </row>
    <row r="7" spans="1:13" ht="13.5" customHeight="1">
      <c r="B7" s="10" t="s">
        <v>24</v>
      </c>
      <c r="C7" s="9">
        <v>400</v>
      </c>
      <c r="D7" s="2"/>
      <c r="E7" s="10" t="s">
        <v>17</v>
      </c>
      <c r="F7" s="11">
        <v>500</v>
      </c>
      <c r="G7" s="11">
        <v>500</v>
      </c>
      <c r="I7" s="10" t="s">
        <v>23</v>
      </c>
      <c r="J7" s="9">
        <v>400</v>
      </c>
      <c r="K7" s="10" t="s">
        <v>16</v>
      </c>
      <c r="L7" s="9">
        <v>100</v>
      </c>
    </row>
    <row r="8" spans="1:13" ht="13.5" customHeight="1">
      <c r="B8" s="10" t="s">
        <v>26</v>
      </c>
      <c r="C8" s="9">
        <v>500</v>
      </c>
      <c r="D8" s="2"/>
      <c r="E8" s="10" t="s">
        <v>18</v>
      </c>
      <c r="F8" s="11">
        <v>400</v>
      </c>
      <c r="G8" s="11">
        <v>400</v>
      </c>
      <c r="I8" s="14"/>
      <c r="J8" s="11"/>
      <c r="K8" s="14" t="s">
        <v>17</v>
      </c>
      <c r="L8" s="11">
        <v>300</v>
      </c>
    </row>
    <row r="9" spans="1:13">
      <c r="B9" s="10" t="s">
        <v>28</v>
      </c>
      <c r="C9" s="9">
        <v>200</v>
      </c>
      <c r="D9" s="2"/>
      <c r="E9" s="10" t="s">
        <v>19</v>
      </c>
      <c r="F9" s="11">
        <v>500</v>
      </c>
      <c r="G9" s="11">
        <v>500</v>
      </c>
      <c r="I9" s="14" t="s">
        <v>25</v>
      </c>
      <c r="J9" s="11">
        <v>500</v>
      </c>
      <c r="K9" s="14" t="s">
        <v>17</v>
      </c>
      <c r="L9" s="11">
        <v>200</v>
      </c>
    </row>
    <row r="10" spans="1:13">
      <c r="B10" s="14" t="s">
        <v>29</v>
      </c>
      <c r="C10" s="11">
        <v>400</v>
      </c>
      <c r="D10" s="2"/>
      <c r="E10" s="10" t="s">
        <v>20</v>
      </c>
      <c r="F10" s="11">
        <v>600</v>
      </c>
      <c r="G10" s="11"/>
      <c r="I10" s="14"/>
      <c r="J10" s="11"/>
      <c r="K10" s="14" t="s">
        <v>18</v>
      </c>
      <c r="L10" s="11">
        <v>300</v>
      </c>
    </row>
    <row r="11" spans="1:13">
      <c r="D11" s="2"/>
      <c r="E11" s="1"/>
      <c r="I11" s="14" t="s">
        <v>27</v>
      </c>
      <c r="J11" s="11">
        <v>200</v>
      </c>
      <c r="K11" s="14" t="s">
        <v>18</v>
      </c>
      <c r="L11" s="11">
        <v>100</v>
      </c>
    </row>
    <row r="12" spans="1:13">
      <c r="D12" s="2"/>
      <c r="E12" s="1"/>
      <c r="I12" s="14"/>
      <c r="J12" s="11"/>
      <c r="K12" s="14" t="s">
        <v>19</v>
      </c>
      <c r="L12" s="11">
        <v>100</v>
      </c>
    </row>
    <row r="13" spans="1:13">
      <c r="D13" s="2"/>
      <c r="E13" s="1"/>
      <c r="I13" s="14" t="s">
        <v>29</v>
      </c>
      <c r="J13" s="11">
        <v>400</v>
      </c>
      <c r="K13" s="14" t="s">
        <v>19</v>
      </c>
      <c r="L13" s="11">
        <v>400</v>
      </c>
    </row>
    <row r="14" spans="1:13">
      <c r="A14" s="7"/>
      <c r="D14" s="2"/>
      <c r="E14" s="1"/>
    </row>
    <row r="15" spans="1:13">
      <c r="D15" s="2"/>
      <c r="E15" s="1"/>
    </row>
    <row r="16" spans="1:13">
      <c r="D16" s="2"/>
      <c r="E16" s="1"/>
    </row>
    <row r="17" spans="4:5">
      <c r="D17" s="2"/>
      <c r="E17" s="1"/>
    </row>
    <row r="18" spans="4:5">
      <c r="D18" s="2"/>
      <c r="E18" s="1"/>
    </row>
    <row r="19" spans="4:5">
      <c r="D19" s="2"/>
      <c r="E19" s="1"/>
    </row>
    <row r="20" spans="4:5">
      <c r="D20" s="2"/>
      <c r="E20" s="1"/>
    </row>
    <row r="21" spans="4:5">
      <c r="D21" s="2"/>
    </row>
    <row r="22" spans="4:5">
      <c r="D22" s="2"/>
    </row>
    <row r="23" spans="4:5">
      <c r="D23" s="2"/>
    </row>
    <row r="24" spans="4:5">
      <c r="D24" s="2"/>
    </row>
    <row r="25" spans="4:5">
      <c r="D25" s="2"/>
    </row>
    <row r="26" spans="4:5">
      <c r="D26" s="2"/>
    </row>
    <row r="27" spans="4:5">
      <c r="D27" s="2"/>
    </row>
    <row r="28" spans="4:5">
      <c r="D28" s="2"/>
    </row>
    <row r="29" spans="4:5">
      <c r="D29" s="2"/>
    </row>
    <row r="30" spans="4:5">
      <c r="D30" s="2"/>
    </row>
    <row r="31" spans="4:5">
      <c r="D31" s="2"/>
    </row>
    <row r="32" spans="4:5">
      <c r="D32" s="2"/>
    </row>
    <row r="33" spans="4:4">
      <c r="D33" s="2"/>
    </row>
  </sheetData>
  <phoneticPr fontId="3"/>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0.LOT_CHANGE">
                <anchor moveWithCells="1" sizeWithCells="1">
                  <from>
                    <xdr:col>1</xdr:col>
                    <xdr:colOff>0</xdr:colOff>
                    <xdr:row>0</xdr:row>
                    <xdr:rowOff>289560</xdr:rowOff>
                  </from>
                  <to>
                    <xdr:col>3</xdr:col>
                    <xdr:colOff>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B9473-32E9-4D34-BBDE-79ECEFCA45C0}">
  <sheetPr codeName="Sheet21"/>
  <dimension ref="A1:M33"/>
  <sheetViews>
    <sheetView zoomScale="140" zoomScaleNormal="140" workbookViewId="0">
      <pane ySplit="5" topLeftCell="A6" activePane="bottomLeft" state="frozen"/>
      <selection activeCell="C10" sqref="C10"/>
      <selection pane="bottomLeft" activeCell="M3" sqref="M3"/>
    </sheetView>
  </sheetViews>
  <sheetFormatPr defaultColWidth="8.09765625" defaultRowHeight="13.2"/>
  <cols>
    <col min="1" max="1" width="2.5" style="1" customWidth="1"/>
    <col min="2" max="2" width="12.5" style="7" bestFit="1" customWidth="1"/>
    <col min="3" max="3" width="6.69921875" style="4" bestFit="1" customWidth="1"/>
    <col min="4" max="4" width="2.5" style="1" customWidth="1"/>
    <col min="5" max="5" width="12.5" style="7" customWidth="1"/>
    <col min="6" max="7" width="6.69921875" style="4" customWidth="1"/>
    <col min="8" max="8" width="2.5" style="1" customWidth="1"/>
    <col min="9" max="9" width="12.5" style="7" customWidth="1"/>
    <col min="10" max="10" width="6.69921875" style="4" customWidth="1"/>
    <col min="11" max="11" width="12.5" style="7" customWidth="1"/>
    <col min="12" max="12" width="6.69921875" style="4" customWidth="1"/>
    <col min="13" max="16384" width="8.09765625" style="1"/>
  </cols>
  <sheetData>
    <row r="1" spans="1:13" ht="22.95" customHeight="1">
      <c r="B1" s="23" t="s">
        <v>30</v>
      </c>
      <c r="C1" s="1"/>
      <c r="E1" s="1"/>
      <c r="F1" s="1"/>
      <c r="G1" s="1"/>
      <c r="J1" s="1"/>
      <c r="K1" s="1"/>
      <c r="L1" s="1"/>
    </row>
    <row r="2" spans="1:13" ht="13.95" customHeight="1">
      <c r="C2" s="1"/>
      <c r="D2" s="2"/>
      <c r="E2" s="1"/>
      <c r="F2" s="1"/>
      <c r="G2" s="1"/>
      <c r="I2" s="17" t="s">
        <v>0</v>
      </c>
      <c r="J2" s="18"/>
      <c r="K2" s="3" t="s">
        <v>42</v>
      </c>
    </row>
    <row r="3" spans="1:13" ht="13.95" customHeight="1">
      <c r="B3" s="24"/>
      <c r="C3" s="1"/>
      <c r="D3" s="2"/>
      <c r="E3" s="1"/>
      <c r="F3" s="1"/>
      <c r="G3" s="1"/>
      <c r="I3" s="19" t="s">
        <v>7</v>
      </c>
      <c r="J3" s="20"/>
      <c r="K3" s="5">
        <f>SUM(F:F)-SUM(G:G)</f>
        <v>600</v>
      </c>
      <c r="M3" s="6"/>
    </row>
    <row r="4" spans="1:13">
      <c r="B4" s="25"/>
      <c r="C4" s="1"/>
      <c r="D4" s="2"/>
      <c r="F4" s="1"/>
      <c r="G4" s="1"/>
      <c r="J4" s="1"/>
      <c r="K4" s="1"/>
      <c r="L4" s="1"/>
    </row>
    <row r="5" spans="1:13">
      <c r="B5" s="26" t="s">
        <v>6</v>
      </c>
      <c r="C5" s="8" t="s">
        <v>1</v>
      </c>
      <c r="D5" s="2"/>
      <c r="E5" s="15" t="s">
        <v>37</v>
      </c>
      <c r="F5" s="16" t="s">
        <v>2</v>
      </c>
      <c r="G5" s="16" t="s">
        <v>3</v>
      </c>
      <c r="I5" s="26" t="s">
        <v>6</v>
      </c>
      <c r="J5" s="8" t="s">
        <v>1</v>
      </c>
      <c r="K5" s="15" t="s">
        <v>37</v>
      </c>
      <c r="L5" s="16" t="s">
        <v>3</v>
      </c>
    </row>
    <row r="6" spans="1:13" ht="13.5" customHeight="1">
      <c r="B6" s="10" t="s">
        <v>22</v>
      </c>
      <c r="C6" s="9">
        <v>300</v>
      </c>
      <c r="D6" s="2"/>
      <c r="E6" s="10" t="s">
        <v>31</v>
      </c>
      <c r="F6" s="11">
        <v>600</v>
      </c>
      <c r="G6" s="11">
        <v>600</v>
      </c>
      <c r="I6" s="10" t="s">
        <v>21</v>
      </c>
      <c r="J6" s="9">
        <v>300</v>
      </c>
      <c r="K6" s="10" t="s">
        <v>31</v>
      </c>
      <c r="L6" s="9">
        <v>300</v>
      </c>
    </row>
    <row r="7" spans="1:13" ht="13.5" customHeight="1">
      <c r="B7" s="10" t="s">
        <v>24</v>
      </c>
      <c r="C7" s="9">
        <v>400</v>
      </c>
      <c r="D7" s="2"/>
      <c r="E7" s="10" t="s">
        <v>32</v>
      </c>
      <c r="F7" s="11">
        <v>600</v>
      </c>
      <c r="G7" s="11">
        <v>600</v>
      </c>
      <c r="I7" s="10" t="s">
        <v>23</v>
      </c>
      <c r="J7" s="9">
        <v>400</v>
      </c>
      <c r="K7" s="10" t="s">
        <v>31</v>
      </c>
      <c r="L7" s="9">
        <v>300</v>
      </c>
    </row>
    <row r="8" spans="1:13" ht="13.5" customHeight="1">
      <c r="B8" s="10" t="s">
        <v>26</v>
      </c>
      <c r="C8" s="9">
        <v>500</v>
      </c>
      <c r="D8" s="2"/>
      <c r="E8" s="10" t="s">
        <v>33</v>
      </c>
      <c r="F8" s="11">
        <v>600</v>
      </c>
      <c r="G8" s="11">
        <v>600</v>
      </c>
      <c r="I8" s="14"/>
      <c r="J8" s="11"/>
      <c r="K8" s="14" t="s">
        <v>32</v>
      </c>
      <c r="L8" s="11">
        <v>100</v>
      </c>
    </row>
    <row r="9" spans="1:13">
      <c r="B9" s="10" t="s">
        <v>28</v>
      </c>
      <c r="C9" s="9">
        <v>200</v>
      </c>
      <c r="D9" s="2"/>
      <c r="E9" s="10" t="s">
        <v>34</v>
      </c>
      <c r="F9" s="11">
        <v>600</v>
      </c>
      <c r="G9" s="11"/>
      <c r="I9" s="14" t="s">
        <v>25</v>
      </c>
      <c r="J9" s="11">
        <v>500</v>
      </c>
      <c r="K9" s="14" t="s">
        <v>32</v>
      </c>
      <c r="L9" s="11">
        <v>500</v>
      </c>
    </row>
    <row r="10" spans="1:13">
      <c r="B10" s="14" t="s">
        <v>29</v>
      </c>
      <c r="C10" s="11">
        <v>400</v>
      </c>
      <c r="D10" s="2"/>
      <c r="E10" s="1"/>
      <c r="I10" s="14" t="s">
        <v>27</v>
      </c>
      <c r="J10" s="11">
        <v>200</v>
      </c>
      <c r="K10" s="14" t="s">
        <v>33</v>
      </c>
      <c r="L10" s="11">
        <v>200</v>
      </c>
    </row>
    <row r="11" spans="1:13">
      <c r="D11" s="2"/>
      <c r="E11" s="1"/>
      <c r="I11" s="14" t="s">
        <v>29</v>
      </c>
      <c r="J11" s="11">
        <v>400</v>
      </c>
      <c r="K11" s="14" t="s">
        <v>33</v>
      </c>
      <c r="L11" s="11">
        <v>400</v>
      </c>
    </row>
    <row r="12" spans="1:13">
      <c r="D12" s="2"/>
      <c r="E12" s="1"/>
    </row>
    <row r="13" spans="1:13">
      <c r="D13" s="2"/>
      <c r="E13" s="1"/>
    </row>
    <row r="14" spans="1:13">
      <c r="A14" s="7"/>
      <c r="D14" s="2"/>
      <c r="E14" s="1"/>
    </row>
    <row r="15" spans="1:13">
      <c r="D15" s="2"/>
      <c r="E15" s="1"/>
    </row>
    <row r="16" spans="1:13">
      <c r="D16" s="2"/>
      <c r="E16" s="1"/>
    </row>
    <row r="17" spans="4:5">
      <c r="D17" s="2"/>
      <c r="E17" s="1"/>
    </row>
    <row r="18" spans="4:5">
      <c r="D18" s="2"/>
      <c r="E18" s="1"/>
    </row>
    <row r="19" spans="4:5">
      <c r="D19" s="2"/>
      <c r="E19" s="1"/>
    </row>
    <row r="20" spans="4:5">
      <c r="D20" s="2"/>
      <c r="E20" s="1"/>
    </row>
    <row r="21" spans="4:5">
      <c r="D21" s="2"/>
    </row>
    <row r="22" spans="4:5">
      <c r="D22" s="2"/>
    </row>
    <row r="23" spans="4:5">
      <c r="D23" s="2"/>
    </row>
    <row r="24" spans="4:5">
      <c r="D24" s="2"/>
    </row>
    <row r="25" spans="4:5">
      <c r="D25" s="2"/>
    </row>
    <row r="26" spans="4:5">
      <c r="D26" s="2"/>
    </row>
    <row r="27" spans="4:5">
      <c r="D27" s="2"/>
    </row>
    <row r="28" spans="4:5">
      <c r="D28" s="2"/>
    </row>
    <row r="29" spans="4:5">
      <c r="D29" s="2"/>
    </row>
    <row r="30" spans="4:5">
      <c r="D30" s="2"/>
    </row>
    <row r="31" spans="4:5">
      <c r="D31" s="2"/>
    </row>
    <row r="32" spans="4:5">
      <c r="D32" s="2"/>
    </row>
    <row r="33" spans="4:4">
      <c r="D33" s="2"/>
    </row>
  </sheetData>
  <phoneticPr fontId="3"/>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21.LOT_CHANGE">
                <anchor moveWithCells="1" sizeWithCells="1">
                  <from>
                    <xdr:col>1</xdr:col>
                    <xdr:colOff>0</xdr:colOff>
                    <xdr:row>0</xdr:row>
                    <xdr:rowOff>289560</xdr:rowOff>
                  </from>
                  <to>
                    <xdr:col>3</xdr:col>
                    <xdr:colOff>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製品ロット登録</vt:lpstr>
      <vt:lpstr>ロット検索</vt:lpstr>
      <vt:lpstr>材料A</vt:lpstr>
      <vt:lpstr>材料B</vt:lpstr>
      <vt:lpstr>材料C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千葉嵩大</dc:creator>
  <cp:lastModifiedBy>千葉嵩大</cp:lastModifiedBy>
  <dcterms:created xsi:type="dcterms:W3CDTF">2022-08-16T05:33:45Z</dcterms:created>
  <dcterms:modified xsi:type="dcterms:W3CDTF">2022-08-18T12:37:22Z</dcterms:modified>
</cp:coreProperties>
</file>